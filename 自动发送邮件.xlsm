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\Desktop\"/>
    </mc:Choice>
  </mc:AlternateContent>
  <xr:revisionPtr revIDLastSave="0" documentId="13_ncr:1_{4E9CE43B-4EDB-472C-A03D-4C23E5C096E2}" xr6:coauthVersionLast="40" xr6:coauthVersionMax="40" xr10:uidLastSave="{00000000-0000-0000-0000-000000000000}"/>
  <bookViews>
    <workbookView xWindow="240" yWindow="120" windowWidth="18255" windowHeight="7545" xr2:uid="{00000000-000D-0000-FFFF-FFFF00000000}"/>
  </bookViews>
  <sheets>
    <sheet name="Sheet1" sheetId="1" r:id="rId1"/>
    <sheet name="Sheet2" sheetId="4" r:id="rId2"/>
  </sheets>
  <calcPr calcId="181029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2" i="1"/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2" i="1"/>
  <c r="B17" i="1" l="1"/>
  <c r="B18" i="1"/>
  <c r="A17" i="1"/>
  <c r="A18" i="1"/>
  <c r="A6" i="1" l="1"/>
  <c r="A10" i="1"/>
  <c r="A14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A4" i="1"/>
  <c r="A5" i="1"/>
  <c r="A7" i="1"/>
  <c r="A8" i="1"/>
  <c r="A9" i="1"/>
  <c r="A11" i="1"/>
  <c r="A12" i="1"/>
  <c r="A13" i="1"/>
  <c r="A15" i="1"/>
  <c r="A16" i="1"/>
  <c r="A3" i="1"/>
  <c r="A2" i="1"/>
  <c r="B2" i="1" l="1"/>
</calcChain>
</file>

<file path=xl/sharedStrings.xml><?xml version="1.0" encoding="utf-8"?>
<sst xmlns="http://schemas.openxmlformats.org/spreadsheetml/2006/main" count="111" uniqueCount="79">
  <si>
    <t>地址</t>
    <phoneticPr fontId="1" type="noConversion"/>
  </si>
  <si>
    <t>标题</t>
    <phoneticPr fontId="1" type="noConversion"/>
  </si>
  <si>
    <t>内容</t>
    <phoneticPr fontId="1" type="noConversion"/>
  </si>
  <si>
    <t>附件</t>
    <phoneticPr fontId="1" type="noConversion"/>
  </si>
  <si>
    <t>抄送</t>
    <phoneticPr fontId="1" type="noConversion"/>
  </si>
  <si>
    <t>获取文件夹下附件</t>
    <phoneticPr fontId="1" type="noConversion"/>
  </si>
  <si>
    <t>姓名</t>
  </si>
  <si>
    <t>电子邮件地址</t>
  </si>
  <si>
    <t>xazhangkunpeng@chinatelecom.cn</t>
  </si>
  <si>
    <t>xahaojianmin@chinatelecom.cn</t>
  </si>
  <si>
    <t>xaniualong@chinatelecom.cn</t>
  </si>
  <si>
    <t>单元名称</t>
    <phoneticPr fontId="1" type="noConversion"/>
  </si>
  <si>
    <t>杨凌</t>
  </si>
  <si>
    <t>雁塔</t>
  </si>
  <si>
    <t>蓝田</t>
  </si>
  <si>
    <t>莲湖</t>
  </si>
  <si>
    <t>长安</t>
  </si>
  <si>
    <t>户县</t>
  </si>
  <si>
    <t>新城</t>
  </si>
  <si>
    <t>阎良</t>
  </si>
  <si>
    <t>临潼</t>
  </si>
  <si>
    <t>碑林</t>
  </si>
  <si>
    <t>航天</t>
  </si>
  <si>
    <t>未央</t>
  </si>
  <si>
    <t>高陵</t>
  </si>
  <si>
    <t>灞桥</t>
  </si>
  <si>
    <t>高新</t>
  </si>
  <si>
    <t>xasunzhigang@chinatelecom.cn</t>
  </si>
  <si>
    <t>xawangtao03@chinatelecom.cn</t>
  </si>
  <si>
    <t>xarenchen@chinatelecom.cn</t>
  </si>
  <si>
    <t>xalixiaochen@chinatelecom.cn</t>
  </si>
  <si>
    <t>xaliyuxin01@chinatelecom.cn</t>
  </si>
  <si>
    <t>xawulihong@chinatelecom.cn</t>
  </si>
  <si>
    <t>xajimingyang@chinatelecom.cn</t>
  </si>
  <si>
    <t>沣东</t>
    <phoneticPr fontId="1" type="noConversion"/>
  </si>
  <si>
    <t>xazhaowenxin@chinatelecom.cn</t>
  </si>
  <si>
    <t>xaxingqian@chinatelecom.cn</t>
  </si>
  <si>
    <t>18092655589@189.cn</t>
  </si>
  <si>
    <t>xayanghua@chinatelecom.cn</t>
  </si>
  <si>
    <t>xayangrong@chinatelecom.cn</t>
  </si>
  <si>
    <t>xaxiejinwei@chinatelecom.cn</t>
  </si>
  <si>
    <t>xalixiaoman@chinatelecom.cn</t>
  </si>
  <si>
    <t>周至</t>
    <phoneticPr fontId="1" type="noConversion"/>
  </si>
  <si>
    <t>xawangzhanhong@chinatelecom.cn</t>
    <phoneticPr fontId="1" type="noConversion"/>
  </si>
  <si>
    <t>【最终受理结果】临潼 11月教师缴费卡赠费最终受理结果.xlsx</t>
  </si>
  <si>
    <t>【最终受理结果】周至 11月教师缴费卡赠费最终受理结果.xlsx</t>
  </si>
  <si>
    <t>【最终受理结果】户县 11月教师缴费卡赠费最终受理结果.xlsx</t>
  </si>
  <si>
    <t>【最终受理结果】新城 11月教师缴费卡赠费最终受理结果.xlsx</t>
  </si>
  <si>
    <t>【最终受理结果】未央 11月教师缴费卡赠费最终受理结果.xlsx</t>
  </si>
  <si>
    <t>【最终受理结果】杨凌 11月教师缴费卡赠费最终受理结果.xlsx</t>
  </si>
  <si>
    <t>【最终受理结果】沣东 11月教师缴费卡赠费最终受理结果.xlsx</t>
  </si>
  <si>
    <t>【最终受理结果】灞桥 11月教师缴费卡赠费最终受理结果.xlsx</t>
  </si>
  <si>
    <t>【最终受理结果】碑林 11月教师缴费卡赠费最终受理结果.xlsx</t>
  </si>
  <si>
    <t>【最终受理结果】航天 11月教师缴费卡赠费最终受理结果.xlsx</t>
  </si>
  <si>
    <t>【最终受理结果】莲湖 11月教师缴费卡赠费最终受理结果.xlsx</t>
  </si>
  <si>
    <t>【最终受理结果】蓝田 11月教师缴费卡赠费最终受理结果.xlsx</t>
  </si>
  <si>
    <t>【最终受理结果】长安 11月教师缴费卡赠费最终受理结果.xlsx</t>
  </si>
  <si>
    <t>【最终受理结果】阎良 11月教师缴费卡赠费最终受理结果.xlsx</t>
  </si>
  <si>
    <t>【最终受理结果】雁塔 11月教师缴费卡赠费最终受理结果.xlsx</t>
  </si>
  <si>
    <t>【最终受理结果】高新 11月教师缴费卡赠费最终受理结果.xlsx</t>
  </si>
  <si>
    <t>【最终受理结果】高陵 11月教师缴费卡赠费最终受理结果.xlsx</t>
  </si>
  <si>
    <t>【最终受理结果】临潼 12月教师缴费卡赠费最终受理结果.xlsx</t>
    <phoneticPr fontId="1" type="noConversion"/>
  </si>
  <si>
    <t>【最终受理结果】周至 12月教师缴费卡赠费最终受理结果.xlsx</t>
  </si>
  <si>
    <t>【最终受理结果】户县 12月教师缴费卡赠费最终受理结果.xlsx</t>
  </si>
  <si>
    <t>【最终受理结果】新城 12月教师缴费卡赠费最终受理结果.xlsx</t>
  </si>
  <si>
    <t>【最终受理结果】未央 12月教师缴费卡赠费最终受理结果.xlsx</t>
  </si>
  <si>
    <t>【最终受理结果】杨凌 12月教师缴费卡赠费最终受理结果.xlsx</t>
  </si>
  <si>
    <t>【最终受理结果】沣东 12月教师缴费卡赠费最终受理结果.xlsx</t>
  </si>
  <si>
    <t>【最终受理结果】灞桥 12月教师缴费卡赠费最终受理结果.xlsx</t>
  </si>
  <si>
    <t>【最终受理结果】碑林 12月教师缴费卡赠费最终受理结果.xlsx</t>
  </si>
  <si>
    <t>【最终受理结果】航天 12月教师缴费卡赠费最终受理结果.xlsx</t>
  </si>
  <si>
    <t>【最终受理结果】莲湖 12月教师缴费卡赠费最终受理结果.xlsx</t>
  </si>
  <si>
    <t>【最终受理结果】蓝田 12月教师缴费卡赠费最终受理结果.xlsx</t>
  </si>
  <si>
    <t>【最终受理结果】长安 12月教师缴费卡赠费最终受理结果.xlsx</t>
  </si>
  <si>
    <t>【最终受理结果】阎良 12月教师缴费卡赠费最终受理结果.xlsx</t>
  </si>
  <si>
    <t>【最终受理结果】雁塔 12月教师缴费卡赠费最终受理结果.xlsx</t>
  </si>
  <si>
    <t>【最终受理结果】高新 12月教师缴费卡赠费最终受理结果.xlsx</t>
  </si>
  <si>
    <t>【最终受理结果】高陵 12月教师缴费卡赠费最终受理结果.xlsx</t>
  </si>
  <si>
    <t>领导好，
        附件是 12月教师缴费卡赠费最终受理结果，请查收
数据中包含用户信息，请注意保密。
------------------
赵川 17782521705
教 育 人 人 通 数 据 支 撑
E-mail:zhaochuan@thinkjoy.cn
地址：西安市五星街电信营业厅202室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</si>
</sst>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vertical="center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xawangzhanhong@chinatelecom.cn" TargetMode="External"/><Relationship Id="rId1" Type="http://schemas.openxmlformats.org/officeDocument/2006/relationships/hyperlink" Target="mailto:136800166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2"/>
  <sheetViews>
    <sheetView tabSelected="1" workbookViewId="0">
      <selection activeCell="C14" sqref="C14"/>
    </sheetView>
  </sheetViews>
  <sheetFormatPr defaultRowHeight="13.5" x14ac:dyDescent="0.15"/>
  <cols>
    <col min="1" max="1" width="29.5" customWidth="1"/>
    <col min="2" max="2" width="47.875" bestFit="1" customWidth="1"/>
    <col min="3" max="3" width="45.75" customWidth="1"/>
    <col min="4" max="4" width="77.75" bestFit="1" customWidth="1"/>
    <col min="5" max="5" width="106" bestFit="1" customWidth="1"/>
    <col min="10" max="10" width="53.375" bestFit="1" customWidth="1"/>
  </cols>
  <sheetData>
    <row r="1" spans="1:11" ht="14.25" customHeight="1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J1" t="s">
        <v>5</v>
      </c>
      <c r="K1" t="s">
        <v>11</v>
      </c>
    </row>
    <row r="2" spans="1:11" ht="14.25" customHeight="1" x14ac:dyDescent="0.15">
      <c r="A2" s="1" t="str">
        <f>VLOOKUP(K2,Sheet2!A:B,2,0)</f>
        <v>xaxiejinwei@chinatelecom.cn</v>
      </c>
      <c r="B2" t="str">
        <f t="shared" ref="B2:B16" si="0">LEFT(J2,FIND(".",J2)-1)</f>
        <v>【最终受理结果】临潼 12月教师缴费卡赠费最终受理结果</v>
      </c>
      <c r="C2" s="2" t="s">
        <v>78</v>
      </c>
      <c r="D2" t="str">
        <f>"D:\教师缴费卡赠送\12月\拆分部\"&amp;J2</f>
        <v>D:\教师缴费卡赠送\12月\拆分部\【最终受理结果】临潼 12月教师缴费卡赠费最终受理结果.xlsx</v>
      </c>
      <c r="E2" s="1" t="s">
        <v>33</v>
      </c>
      <c r="J2" t="s">
        <v>61</v>
      </c>
      <c r="K2" t="str">
        <f>MID(J2,9,2)</f>
        <v>临潼</v>
      </c>
    </row>
    <row r="3" spans="1:11" ht="14.25" customHeight="1" x14ac:dyDescent="0.15">
      <c r="A3" s="1" t="str">
        <f>VLOOKUP(K3,Sheet2!A:B,2,0)</f>
        <v>xawangzhanhong@chinatelecom.cn</v>
      </c>
      <c r="B3" t="str">
        <f t="shared" si="0"/>
        <v>【最终受理结果】周至 12月教师缴费卡赠费最终受理结果</v>
      </c>
      <c r="C3" s="2" t="s">
        <v>78</v>
      </c>
      <c r="D3" t="str">
        <f t="shared" ref="D3:D18" si="1">"D:\教师缴费卡赠送\12月\拆分部\"&amp;J3</f>
        <v>D:\教师缴费卡赠送\12月\拆分部\【最终受理结果】周至 12月教师缴费卡赠费最终受理结果.xlsx</v>
      </c>
      <c r="E3" s="1" t="s">
        <v>33</v>
      </c>
      <c r="J3" t="s">
        <v>62</v>
      </c>
      <c r="K3" t="str">
        <f t="shared" ref="K3:K18" si="2">MID(J3,9,2)</f>
        <v>周至</v>
      </c>
    </row>
    <row r="4" spans="1:11" ht="14.25" customHeight="1" x14ac:dyDescent="0.15">
      <c r="A4" s="1" t="str">
        <f>VLOOKUP(K4,Sheet2!A:B,2,0)</f>
        <v>xayanghua@chinatelecom.cn</v>
      </c>
      <c r="B4" t="str">
        <f t="shared" si="0"/>
        <v>【最终受理结果】户县 12月教师缴费卡赠费最终受理结果</v>
      </c>
      <c r="C4" s="2" t="s">
        <v>78</v>
      </c>
      <c r="D4" t="str">
        <f t="shared" si="1"/>
        <v>D:\教师缴费卡赠送\12月\拆分部\【最终受理结果】户县 12月教师缴费卡赠费最终受理结果.xlsx</v>
      </c>
      <c r="E4" s="1" t="s">
        <v>33</v>
      </c>
      <c r="J4" t="s">
        <v>63</v>
      </c>
      <c r="K4" t="str">
        <f t="shared" si="2"/>
        <v>户县</v>
      </c>
    </row>
    <row r="5" spans="1:11" ht="14.25" customHeight="1" x14ac:dyDescent="0.15">
      <c r="A5" s="1" t="str">
        <f>VLOOKUP(K5,Sheet2!A:B,2,0)</f>
        <v>xaliyuxin01@chinatelecom.cn</v>
      </c>
      <c r="B5" t="str">
        <f t="shared" si="0"/>
        <v>【最终受理结果】新城 12月教师缴费卡赠费最终受理结果</v>
      </c>
      <c r="C5" s="2" t="s">
        <v>78</v>
      </c>
      <c r="D5" t="str">
        <f t="shared" si="1"/>
        <v>D:\教师缴费卡赠送\12月\拆分部\【最终受理结果】新城 12月教师缴费卡赠费最终受理结果.xlsx</v>
      </c>
      <c r="E5" s="1" t="s">
        <v>33</v>
      </c>
      <c r="J5" t="s">
        <v>64</v>
      </c>
      <c r="K5" t="str">
        <f t="shared" si="2"/>
        <v>新城</v>
      </c>
    </row>
    <row r="6" spans="1:11" ht="14.25" customHeight="1" x14ac:dyDescent="0.15">
      <c r="A6" s="1" t="str">
        <f>VLOOKUP(K6,Sheet2!A:B,2,0)</f>
        <v>xalixiaochen@chinatelecom.cn</v>
      </c>
      <c r="B6" t="str">
        <f t="shared" si="0"/>
        <v>【最终受理结果】未央 12月教师缴费卡赠费最终受理结果</v>
      </c>
      <c r="C6" s="2" t="s">
        <v>78</v>
      </c>
      <c r="D6" t="str">
        <f t="shared" si="1"/>
        <v>D:\教师缴费卡赠送\12月\拆分部\【最终受理结果】未央 12月教师缴费卡赠费最终受理结果.xlsx</v>
      </c>
      <c r="E6" s="1" t="s">
        <v>33</v>
      </c>
      <c r="J6" t="s">
        <v>65</v>
      </c>
      <c r="K6" t="str">
        <f t="shared" si="2"/>
        <v>未央</v>
      </c>
    </row>
    <row r="7" spans="1:11" ht="14.25" customHeight="1" x14ac:dyDescent="0.15">
      <c r="A7" s="1" t="str">
        <f>VLOOKUP(K7,Sheet2!A:B,2,0)</f>
        <v>xalixiaoman@chinatelecom.cn</v>
      </c>
      <c r="B7" t="str">
        <f t="shared" si="0"/>
        <v>【最终受理结果】杨凌 12月教师缴费卡赠费最终受理结果</v>
      </c>
      <c r="C7" s="2" t="s">
        <v>78</v>
      </c>
      <c r="D7" t="str">
        <f t="shared" si="1"/>
        <v>D:\教师缴费卡赠送\12月\拆分部\【最终受理结果】杨凌 12月教师缴费卡赠费最终受理结果.xlsx</v>
      </c>
      <c r="E7" s="1" t="s">
        <v>33</v>
      </c>
      <c r="J7" t="s">
        <v>66</v>
      </c>
      <c r="K7" t="str">
        <f t="shared" si="2"/>
        <v>杨凌</v>
      </c>
    </row>
    <row r="8" spans="1:11" ht="14.25" customHeight="1" x14ac:dyDescent="0.15">
      <c r="A8" s="1" t="str">
        <f>VLOOKUP(K8,Sheet2!A:B,2,0)</f>
        <v>xazhaowenxin@chinatelecom.cn</v>
      </c>
      <c r="B8" t="str">
        <f t="shared" si="0"/>
        <v>【最终受理结果】沣东 12月教师缴费卡赠费最终受理结果</v>
      </c>
      <c r="C8" s="2" t="s">
        <v>78</v>
      </c>
      <c r="D8" t="str">
        <f t="shared" si="1"/>
        <v>D:\教师缴费卡赠送\12月\拆分部\【最终受理结果】沣东 12月教师缴费卡赠费最终受理结果.xlsx</v>
      </c>
      <c r="E8" s="1" t="s">
        <v>33</v>
      </c>
      <c r="J8" t="s">
        <v>67</v>
      </c>
      <c r="K8" t="str">
        <f t="shared" si="2"/>
        <v>沣东</v>
      </c>
    </row>
    <row r="9" spans="1:11" ht="14.25" customHeight="1" x14ac:dyDescent="0.15">
      <c r="A9" s="1" t="str">
        <f>VLOOKUP(K9,Sheet2!A:B,2,0)</f>
        <v>xasunzhigang@chinatelecom.cn</v>
      </c>
      <c r="B9" t="str">
        <f t="shared" si="0"/>
        <v>【最终受理结果】灞桥 12月教师缴费卡赠费最终受理结果</v>
      </c>
      <c r="C9" s="2" t="s">
        <v>78</v>
      </c>
      <c r="D9" t="str">
        <f t="shared" si="1"/>
        <v>D:\教师缴费卡赠送\12月\拆分部\【最终受理结果】灞桥 12月教师缴费卡赠费最终受理结果.xlsx</v>
      </c>
      <c r="E9" s="1" t="s">
        <v>33</v>
      </c>
      <c r="J9" t="s">
        <v>68</v>
      </c>
      <c r="K9" t="str">
        <f t="shared" si="2"/>
        <v>灞桥</v>
      </c>
    </row>
    <row r="10" spans="1:11" ht="14.25" customHeight="1" x14ac:dyDescent="0.15">
      <c r="A10" s="1" t="str">
        <f>VLOOKUP(K10,Sheet2!A:B,2,0)</f>
        <v>xawangtao03@chinatelecom.cn</v>
      </c>
      <c r="B10" t="str">
        <f t="shared" si="0"/>
        <v>【最终受理结果】碑林 12月教师缴费卡赠费最终受理结果</v>
      </c>
      <c r="C10" s="2" t="s">
        <v>78</v>
      </c>
      <c r="D10" t="str">
        <f t="shared" si="1"/>
        <v>D:\教师缴费卡赠送\12月\拆分部\【最终受理结果】碑林 12月教师缴费卡赠费最终受理结果.xlsx</v>
      </c>
      <c r="E10" s="1" t="s">
        <v>33</v>
      </c>
      <c r="J10" t="s">
        <v>69</v>
      </c>
      <c r="K10" t="str">
        <f t="shared" si="2"/>
        <v>碑林</v>
      </c>
    </row>
    <row r="11" spans="1:11" ht="14.25" customHeight="1" x14ac:dyDescent="0.15">
      <c r="A11" s="1" t="str">
        <f>VLOOKUP(K11,Sheet2!A:B,2,0)</f>
        <v>xaniualong@chinatelecom.cn</v>
      </c>
      <c r="B11" t="str">
        <f t="shared" si="0"/>
        <v>【最终受理结果】航天 12月教师缴费卡赠费最终受理结果</v>
      </c>
      <c r="C11" s="2" t="s">
        <v>78</v>
      </c>
      <c r="D11" t="str">
        <f t="shared" si="1"/>
        <v>D:\教师缴费卡赠送\12月\拆分部\【最终受理结果】航天 12月教师缴费卡赠费最终受理结果.xlsx</v>
      </c>
      <c r="E11" s="1" t="s">
        <v>33</v>
      </c>
      <c r="J11" t="s">
        <v>70</v>
      </c>
      <c r="K11" t="str">
        <f t="shared" si="2"/>
        <v>航天</v>
      </c>
    </row>
    <row r="12" spans="1:11" ht="14.25" customHeight="1" x14ac:dyDescent="0.15">
      <c r="A12" s="1" t="str">
        <f>VLOOKUP(K12,Sheet2!A:B,2,0)</f>
        <v>xarenchen@chinatelecom.cn</v>
      </c>
      <c r="B12" t="str">
        <f t="shared" si="0"/>
        <v>【最终受理结果】莲湖 12月教师缴费卡赠费最终受理结果</v>
      </c>
      <c r="C12" s="2" t="s">
        <v>78</v>
      </c>
      <c r="D12" t="str">
        <f t="shared" si="1"/>
        <v>D:\教师缴费卡赠送\12月\拆分部\【最终受理结果】莲湖 12月教师缴费卡赠费最终受理结果.xlsx</v>
      </c>
      <c r="E12" s="1" t="s">
        <v>33</v>
      </c>
      <c r="J12" t="s">
        <v>71</v>
      </c>
      <c r="K12" t="str">
        <f t="shared" si="2"/>
        <v>莲湖</v>
      </c>
    </row>
    <row r="13" spans="1:11" ht="14.25" customHeight="1" x14ac:dyDescent="0.15">
      <c r="A13" s="1" t="str">
        <f>VLOOKUP(K13,Sheet2!A:B,2,0)</f>
        <v>xayangrong@chinatelecom.cn</v>
      </c>
      <c r="B13" t="str">
        <f t="shared" si="0"/>
        <v>【最终受理结果】蓝田 12月教师缴费卡赠费最终受理结果</v>
      </c>
      <c r="C13" s="2" t="s">
        <v>78</v>
      </c>
      <c r="D13" t="str">
        <f t="shared" si="1"/>
        <v>D:\教师缴费卡赠送\12月\拆分部\【最终受理结果】蓝田 12月教师缴费卡赠费最终受理结果.xlsx</v>
      </c>
      <c r="E13" s="1" t="s">
        <v>33</v>
      </c>
      <c r="J13" t="s">
        <v>72</v>
      </c>
      <c r="K13" t="str">
        <f t="shared" si="2"/>
        <v>蓝田</v>
      </c>
    </row>
    <row r="14" spans="1:11" ht="14.25" customHeight="1" x14ac:dyDescent="0.15">
      <c r="A14" s="1" t="str">
        <f>VLOOKUP(K14,Sheet2!A:B,2,0)</f>
        <v>xazhangkunpeng@chinatelecom.cn</v>
      </c>
      <c r="B14" t="str">
        <f t="shared" si="0"/>
        <v>【最终受理结果】长安 12月教师缴费卡赠费最终受理结果</v>
      </c>
      <c r="C14" s="2" t="s">
        <v>78</v>
      </c>
      <c r="D14" t="str">
        <f t="shared" si="1"/>
        <v>D:\教师缴费卡赠送\12月\拆分部\【最终受理结果】长安 12月教师缴费卡赠费最终受理结果.xlsx</v>
      </c>
      <c r="E14" s="1" t="s">
        <v>33</v>
      </c>
      <c r="J14" t="s">
        <v>73</v>
      </c>
      <c r="K14" t="str">
        <f t="shared" si="2"/>
        <v>长安</v>
      </c>
    </row>
    <row r="15" spans="1:11" ht="14.25" customHeight="1" x14ac:dyDescent="0.15">
      <c r="A15" s="1" t="str">
        <f>VLOOKUP(K15,Sheet2!A:B,2,0)</f>
        <v>xahaojianmin@chinatelecom.cn</v>
      </c>
      <c r="B15" t="str">
        <f t="shared" si="0"/>
        <v>【最终受理结果】阎良 12月教师缴费卡赠费最终受理结果</v>
      </c>
      <c r="C15" s="2" t="s">
        <v>78</v>
      </c>
      <c r="D15" t="str">
        <f t="shared" si="1"/>
        <v>D:\教师缴费卡赠送\12月\拆分部\【最终受理结果】阎良 12月教师缴费卡赠费最终受理结果.xlsx</v>
      </c>
      <c r="E15" s="1" t="s">
        <v>33</v>
      </c>
      <c r="J15" t="s">
        <v>74</v>
      </c>
      <c r="K15" t="str">
        <f t="shared" si="2"/>
        <v>阎良</v>
      </c>
    </row>
    <row r="16" spans="1:11" ht="14.25" customHeight="1" x14ac:dyDescent="0.15">
      <c r="A16" s="1" t="str">
        <f>VLOOKUP(K16,Sheet2!A:B,2,0)</f>
        <v>xawulihong@chinatelecom.cn</v>
      </c>
      <c r="B16" t="str">
        <f t="shared" si="0"/>
        <v>【最终受理结果】雁塔 12月教师缴费卡赠费最终受理结果</v>
      </c>
      <c r="C16" s="2" t="s">
        <v>78</v>
      </c>
      <c r="D16" t="str">
        <f t="shared" si="1"/>
        <v>D:\教师缴费卡赠送\12月\拆分部\【最终受理结果】雁塔 12月教师缴费卡赠费最终受理结果.xlsx</v>
      </c>
      <c r="E16" s="1" t="s">
        <v>33</v>
      </c>
      <c r="J16" t="s">
        <v>75</v>
      </c>
      <c r="K16" t="str">
        <f t="shared" si="2"/>
        <v>雁塔</v>
      </c>
    </row>
    <row r="17" spans="1:11" ht="14.25" customHeight="1" x14ac:dyDescent="0.15">
      <c r="A17" s="1" t="str">
        <f>VLOOKUP(K17,Sheet2!A:B,2,0)</f>
        <v>18092655589@189.cn</v>
      </c>
      <c r="B17" t="str">
        <f t="shared" ref="B17:B18" si="3">LEFT(J17,FIND(".",J17)-1)</f>
        <v>【最终受理结果】高新 12月教师缴费卡赠费最终受理结果</v>
      </c>
      <c r="C17" s="2" t="s">
        <v>78</v>
      </c>
      <c r="D17" t="str">
        <f t="shared" si="1"/>
        <v>D:\教师缴费卡赠送\12月\拆分部\【最终受理结果】高新 12月教师缴费卡赠费最终受理结果.xlsx</v>
      </c>
      <c r="E17" s="1" t="s">
        <v>33</v>
      </c>
      <c r="J17" t="s">
        <v>76</v>
      </c>
      <c r="K17" t="str">
        <f t="shared" si="2"/>
        <v>高新</v>
      </c>
    </row>
    <row r="18" spans="1:11" ht="14.25" customHeight="1" x14ac:dyDescent="0.15">
      <c r="A18" s="1" t="str">
        <f>VLOOKUP(K18,Sheet2!A:B,2,0)</f>
        <v>xaxingqian@chinatelecom.cn</v>
      </c>
      <c r="B18" t="str">
        <f t="shared" si="3"/>
        <v>【最终受理结果】高陵 12月教师缴费卡赠费最终受理结果</v>
      </c>
      <c r="C18" s="2" t="s">
        <v>78</v>
      </c>
      <c r="D18" t="str">
        <f t="shared" si="1"/>
        <v>D:\教师缴费卡赠送\12月\拆分部\【最终受理结果】高陵 12月教师缴费卡赠费最终受理结果.xlsx</v>
      </c>
      <c r="E18" s="1" t="s">
        <v>33</v>
      </c>
      <c r="J18" t="s">
        <v>77</v>
      </c>
      <c r="K18" t="str">
        <f t="shared" si="2"/>
        <v>高陵</v>
      </c>
    </row>
    <row r="19" spans="1:11" ht="14.25" customHeight="1" x14ac:dyDescent="0.15"/>
    <row r="20" spans="1:11" ht="14.25" customHeight="1" x14ac:dyDescent="0.15"/>
    <row r="21" spans="1:11" ht="14.25" customHeight="1" x14ac:dyDescent="0.15"/>
    <row r="22" spans="1:11" ht="14.25" customHeight="1" x14ac:dyDescent="0.15"/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8"/>
  <sheetViews>
    <sheetView workbookViewId="0">
      <selection activeCell="J2" sqref="J2:J18"/>
    </sheetView>
  </sheetViews>
  <sheetFormatPr defaultRowHeight="13.5" x14ac:dyDescent="0.15"/>
  <cols>
    <col min="1" max="1" width="22.625" bestFit="1" customWidth="1"/>
    <col min="2" max="2" width="33.875" bestFit="1" customWidth="1"/>
  </cols>
  <sheetData>
    <row r="1" spans="1:10" ht="15" customHeight="1" x14ac:dyDescent="0.15">
      <c r="A1" t="s">
        <v>6</v>
      </c>
      <c r="B1" t="s">
        <v>7</v>
      </c>
    </row>
    <row r="2" spans="1:10" x14ac:dyDescent="0.15">
      <c r="A2" t="s">
        <v>25</v>
      </c>
      <c r="B2" t="s">
        <v>27</v>
      </c>
      <c r="J2" t="s">
        <v>44</v>
      </c>
    </row>
    <row r="3" spans="1:10" x14ac:dyDescent="0.15">
      <c r="A3" t="s">
        <v>21</v>
      </c>
      <c r="B3" t="s">
        <v>28</v>
      </c>
      <c r="J3" t="s">
        <v>45</v>
      </c>
    </row>
    <row r="4" spans="1:10" x14ac:dyDescent="0.15">
      <c r="A4" t="s">
        <v>24</v>
      </c>
      <c r="B4" t="s">
        <v>36</v>
      </c>
      <c r="J4" t="s">
        <v>46</v>
      </c>
    </row>
    <row r="5" spans="1:10" x14ac:dyDescent="0.15">
      <c r="A5" t="s">
        <v>26</v>
      </c>
      <c r="B5" t="s">
        <v>37</v>
      </c>
      <c r="J5" t="s">
        <v>47</v>
      </c>
    </row>
    <row r="6" spans="1:10" x14ac:dyDescent="0.15">
      <c r="A6" t="s">
        <v>22</v>
      </c>
      <c r="B6" t="s">
        <v>10</v>
      </c>
      <c r="J6" t="s">
        <v>48</v>
      </c>
    </row>
    <row r="7" spans="1:10" x14ac:dyDescent="0.15">
      <c r="A7" t="s">
        <v>17</v>
      </c>
      <c r="B7" t="s">
        <v>38</v>
      </c>
      <c r="J7" t="s">
        <v>49</v>
      </c>
    </row>
    <row r="8" spans="1:10" x14ac:dyDescent="0.15">
      <c r="A8" t="s">
        <v>14</v>
      </c>
      <c r="B8" t="s">
        <v>39</v>
      </c>
      <c r="J8" t="s">
        <v>50</v>
      </c>
    </row>
    <row r="9" spans="1:10" x14ac:dyDescent="0.15">
      <c r="A9" t="s">
        <v>15</v>
      </c>
      <c r="B9" t="s">
        <v>29</v>
      </c>
      <c r="J9" t="s">
        <v>51</v>
      </c>
    </row>
    <row r="10" spans="1:10" x14ac:dyDescent="0.15">
      <c r="A10" t="s">
        <v>20</v>
      </c>
      <c r="B10" t="s">
        <v>40</v>
      </c>
      <c r="J10" t="s">
        <v>52</v>
      </c>
    </row>
    <row r="11" spans="1:10" x14ac:dyDescent="0.15">
      <c r="A11" t="s">
        <v>23</v>
      </c>
      <c r="B11" t="s">
        <v>30</v>
      </c>
      <c r="J11" t="s">
        <v>53</v>
      </c>
    </row>
    <row r="12" spans="1:10" x14ac:dyDescent="0.15">
      <c r="A12" t="s">
        <v>18</v>
      </c>
      <c r="B12" t="s">
        <v>31</v>
      </c>
      <c r="J12" t="s">
        <v>54</v>
      </c>
    </row>
    <row r="13" spans="1:10" x14ac:dyDescent="0.15">
      <c r="A13" t="s">
        <v>13</v>
      </c>
      <c r="B13" t="s">
        <v>32</v>
      </c>
      <c r="J13" t="s">
        <v>55</v>
      </c>
    </row>
    <row r="14" spans="1:10" x14ac:dyDescent="0.15">
      <c r="A14" t="s">
        <v>12</v>
      </c>
      <c r="B14" t="s">
        <v>41</v>
      </c>
      <c r="J14" t="s">
        <v>56</v>
      </c>
    </row>
    <row r="15" spans="1:10" x14ac:dyDescent="0.15">
      <c r="A15" t="s">
        <v>16</v>
      </c>
      <c r="B15" t="s">
        <v>8</v>
      </c>
      <c r="J15" t="s">
        <v>57</v>
      </c>
    </row>
    <row r="16" spans="1:10" x14ac:dyDescent="0.15">
      <c r="A16" t="s">
        <v>42</v>
      </c>
      <c r="B16" t="s">
        <v>43</v>
      </c>
      <c r="J16" t="s">
        <v>58</v>
      </c>
    </row>
    <row r="17" spans="1:10" x14ac:dyDescent="0.15">
      <c r="A17" t="s">
        <v>19</v>
      </c>
      <c r="B17" t="s">
        <v>9</v>
      </c>
      <c r="J17" t="s">
        <v>59</v>
      </c>
    </row>
    <row r="18" spans="1:10" x14ac:dyDescent="0.15">
      <c r="A18" t="s">
        <v>34</v>
      </c>
      <c r="B18" t="s">
        <v>35</v>
      </c>
      <c r="J18" t="s">
        <v>60</v>
      </c>
    </row>
  </sheetData>
  <phoneticPr fontId="1" type="noConversion"/>
  <hyperlinks>
    <hyperlink ref="B2" r:id="rId1" display="136800166@qq.com" xr:uid="{00000000-0004-0000-0100-000000000000}"/>
    <hyperlink ref="B16" r:id="rId2" xr:uid="{6D16B72E-DF97-4505-967B-D5E8E9D9AE8B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user1</dc:creator>
  <cp:lastModifiedBy>a</cp:lastModifiedBy>
  <dcterms:created xsi:type="dcterms:W3CDTF">2012-04-18T07:55:10Z</dcterms:created>
  <dcterms:modified xsi:type="dcterms:W3CDTF">2019-01-07T02:03:12Z</dcterms:modified>
</cp:coreProperties>
</file>